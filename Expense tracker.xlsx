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13_ncr:1_{C2D38AD5-9F72-4C76-93B9-1968E45C02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K13" i="1"/>
  <c r="K12" i="1"/>
  <c r="K16" i="1" l="1"/>
  <c r="K14" i="1"/>
  <c r="K15" i="1"/>
  <c r="L14" i="1" l="1"/>
  <c r="L15" i="1"/>
  <c r="L16" i="1"/>
  <c r="L17" i="1"/>
</calcChain>
</file>

<file path=xl/sharedStrings.xml><?xml version="1.0" encoding="utf-8"?>
<sst xmlns="http://schemas.openxmlformats.org/spreadsheetml/2006/main" count="36" uniqueCount="28">
  <si>
    <t>Description</t>
  </si>
  <si>
    <t>Type</t>
  </si>
  <si>
    <t>Amount</t>
  </si>
  <si>
    <t>Tea</t>
  </si>
  <si>
    <t>food</t>
  </si>
  <si>
    <t>Snacks</t>
  </si>
  <si>
    <t>Lunch</t>
  </si>
  <si>
    <t>Stationary</t>
  </si>
  <si>
    <t>Office</t>
  </si>
  <si>
    <t>Zerodha</t>
  </si>
  <si>
    <t>Investment</t>
  </si>
  <si>
    <t>Icici</t>
  </si>
  <si>
    <t>S.No</t>
  </si>
  <si>
    <t>Food</t>
  </si>
  <si>
    <t>Fun</t>
  </si>
  <si>
    <t>Gulab Jamun</t>
  </si>
  <si>
    <t>office</t>
  </si>
  <si>
    <t>investment</t>
  </si>
  <si>
    <t>Dinner</t>
  </si>
  <si>
    <t>Birthday of a friend</t>
  </si>
  <si>
    <t>fun</t>
  </si>
  <si>
    <t>Total for the day</t>
  </si>
  <si>
    <t>Avrage Trnasaction value</t>
  </si>
  <si>
    <t>Food Expenses</t>
  </si>
  <si>
    <t>Fun Expenses</t>
  </si>
  <si>
    <t>Office expenses</t>
  </si>
  <si>
    <t>Ammount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</si>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</sst>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0" xfId="0" applyAlignment="1">
      <alignment horizontal="left"/>
    </xf>
    <xf numFmtId="2" fontId="0" fillId="0" borderId="0" xfId="0" applyNumberFormat="1"/>
    <xf numFmtId="0" fontId="1" fillId="4" borderId="0" xfId="0" applyFont="1" applyFill="1" applyBorder="1"/>
    <xf numFmtId="0" fontId="0" fillId="4" borderId="0" xfId="0" applyFill="1" applyBorder="1"/>
    <xf numFmtId="0" fontId="1" fillId="5" borderId="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wrapText="1"/>
    </xf>
    <xf numFmtId="0" fontId="0" fillId="5" borderId="3" xfId="0" applyFill="1" applyBorder="1"/>
    <xf numFmtId="2" fontId="0" fillId="5" borderId="3" xfId="0" applyNumberFormat="1" applyFill="1" applyBorder="1"/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/>
    </xf>
    <xf numFmtId="2" fontId="0" fillId="5" borderId="6" xfId="0" applyNumberFormat="1" applyFill="1" applyBorder="1"/>
    <xf numFmtId="0" fontId="0" fillId="6" borderId="7" xfId="0" applyFill="1" applyBorder="1"/>
    <xf numFmtId="0" fontId="1" fillId="6" borderId="8" xfId="0" applyFont="1" applyFill="1" applyBorder="1"/>
    <xf numFmtId="0" fontId="1" fillId="6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121" workbookViewId="0">
      <selection activeCell="J6" sqref="J6"/>
    </sheetView>
  </sheetViews>
  <sheetFormatPr defaultRowHeight="14.4" x14ac:dyDescent="0.3"/>
  <cols>
    <col min="2" max="2" width="11.21875" customWidth="1"/>
    <col min="8" max="8" width="10.5546875" bestFit="1" customWidth="1"/>
    <col min="9" max="9" width="10.5546875" style="1" customWidth="1"/>
    <col min="10" max="10" width="16.6640625" customWidth="1"/>
    <col min="11" max="11" width="9.33203125" bestFit="1" customWidth="1"/>
    <col min="12" max="12" width="10.44140625" bestFit="1" customWidth="1"/>
  </cols>
  <sheetData>
    <row r="1" spans="1:12" x14ac:dyDescent="0.3">
      <c r="A1" s="3" t="s">
        <v>12</v>
      </c>
      <c r="B1" s="3" t="s">
        <v>0</v>
      </c>
      <c r="C1" s="3" t="s">
        <v>1</v>
      </c>
      <c r="D1" s="3" t="s">
        <v>2</v>
      </c>
      <c r="E1" s="3" t="s">
        <v>13</v>
      </c>
      <c r="F1" s="3" t="s">
        <v>14</v>
      </c>
      <c r="G1" s="3" t="s">
        <v>8</v>
      </c>
      <c r="H1" s="3" t="s">
        <v>10</v>
      </c>
      <c r="I1" s="6"/>
    </row>
    <row r="2" spans="1:12" x14ac:dyDescent="0.3">
      <c r="A2" s="2">
        <v>1</v>
      </c>
      <c r="B2" s="2" t="s">
        <v>3</v>
      </c>
      <c r="C2" s="2" t="s">
        <v>4</v>
      </c>
      <c r="D2" s="2">
        <v>15</v>
      </c>
      <c r="E2" s="2">
        <f>COUNTIF(C2,"food") *D2</f>
        <v>15</v>
      </c>
      <c r="F2" s="2">
        <f>COUNTIF(C2,"fun")*D2</f>
        <v>0</v>
      </c>
      <c r="G2" s="2">
        <f>COUNTIF(C2,"office")*D2</f>
        <v>0</v>
      </c>
      <c r="H2" s="2">
        <v>0</v>
      </c>
      <c r="I2" s="7"/>
    </row>
    <row r="3" spans="1:12" x14ac:dyDescent="0.3">
      <c r="A3" s="2">
        <v>2</v>
      </c>
      <c r="B3" s="2" t="s">
        <v>5</v>
      </c>
      <c r="C3" s="2" t="s">
        <v>4</v>
      </c>
      <c r="D3" s="2">
        <v>8</v>
      </c>
      <c r="E3" s="2">
        <f t="shared" ref="E3:E11" si="0">COUNTIF(C3,"food") *D3</f>
        <v>8</v>
      </c>
      <c r="F3" s="2">
        <f t="shared" ref="F3:G11" si="1">COUNTIF(C3,"fun")*D3</f>
        <v>0</v>
      </c>
      <c r="G3" s="2">
        <f t="shared" ref="G3:G11" si="2">COUNTIF(C3,"office")*D3</f>
        <v>0</v>
      </c>
      <c r="H3" s="2">
        <v>0</v>
      </c>
      <c r="I3" s="7"/>
    </row>
    <row r="4" spans="1:12" x14ac:dyDescent="0.3">
      <c r="A4" s="2">
        <v>3</v>
      </c>
      <c r="B4" s="2" t="s">
        <v>15</v>
      </c>
      <c r="C4" s="2" t="s">
        <v>4</v>
      </c>
      <c r="D4" s="2">
        <v>20</v>
      </c>
      <c r="E4" s="2">
        <f t="shared" si="0"/>
        <v>20</v>
      </c>
      <c r="F4" s="2">
        <f t="shared" si="1"/>
        <v>0</v>
      </c>
      <c r="G4" s="2">
        <f t="shared" si="2"/>
        <v>0</v>
      </c>
      <c r="H4" s="2">
        <v>0</v>
      </c>
      <c r="I4" s="7"/>
    </row>
    <row r="5" spans="1:12" x14ac:dyDescent="0.3">
      <c r="A5" s="2">
        <v>4</v>
      </c>
      <c r="B5" s="2" t="s">
        <v>6</v>
      </c>
      <c r="C5" s="2" t="s">
        <v>4</v>
      </c>
      <c r="D5" s="2">
        <v>80</v>
      </c>
      <c r="E5" s="2">
        <f t="shared" si="0"/>
        <v>80</v>
      </c>
      <c r="F5" s="2">
        <f t="shared" si="1"/>
        <v>0</v>
      </c>
      <c r="G5" s="2">
        <f t="shared" si="2"/>
        <v>0</v>
      </c>
      <c r="H5" s="2">
        <v>0</v>
      </c>
      <c r="I5" s="7"/>
    </row>
    <row r="6" spans="1:12" x14ac:dyDescent="0.3">
      <c r="A6" s="2">
        <v>5</v>
      </c>
      <c r="B6" s="2" t="s">
        <v>3</v>
      </c>
      <c r="C6" s="2" t="s">
        <v>4</v>
      </c>
      <c r="D6" s="2">
        <v>10</v>
      </c>
      <c r="E6" s="2">
        <f t="shared" si="0"/>
        <v>10</v>
      </c>
      <c r="F6" s="2">
        <f t="shared" si="1"/>
        <v>0</v>
      </c>
      <c r="G6" s="2">
        <f t="shared" si="2"/>
        <v>0</v>
      </c>
      <c r="H6" s="2">
        <v>0</v>
      </c>
      <c r="I6" s="7"/>
    </row>
    <row r="7" spans="1:12" x14ac:dyDescent="0.3">
      <c r="A7" s="2">
        <v>6</v>
      </c>
      <c r="B7" s="2" t="s">
        <v>7</v>
      </c>
      <c r="C7" s="2" t="s">
        <v>16</v>
      </c>
      <c r="D7" s="2">
        <v>40</v>
      </c>
      <c r="E7" s="2">
        <f t="shared" si="0"/>
        <v>0</v>
      </c>
      <c r="F7" s="2">
        <f t="shared" si="1"/>
        <v>0</v>
      </c>
      <c r="G7" s="2">
        <f t="shared" si="2"/>
        <v>40</v>
      </c>
      <c r="H7" s="2">
        <v>0</v>
      </c>
      <c r="I7" s="7"/>
    </row>
    <row r="8" spans="1:12" x14ac:dyDescent="0.3">
      <c r="A8" s="2">
        <v>7</v>
      </c>
      <c r="B8" s="2" t="s">
        <v>9</v>
      </c>
      <c r="C8" s="2" t="s">
        <v>17</v>
      </c>
      <c r="D8" s="2">
        <v>1000</v>
      </c>
      <c r="E8" s="2">
        <f t="shared" si="0"/>
        <v>0</v>
      </c>
      <c r="F8" s="2">
        <f t="shared" si="1"/>
        <v>0</v>
      </c>
      <c r="G8" s="2">
        <f t="shared" si="2"/>
        <v>0</v>
      </c>
      <c r="H8" s="2">
        <v>1000</v>
      </c>
      <c r="I8" s="7"/>
    </row>
    <row r="9" spans="1:12" x14ac:dyDescent="0.3">
      <c r="A9" s="2">
        <v>8</v>
      </c>
      <c r="B9" s="2" t="s">
        <v>11</v>
      </c>
      <c r="C9" s="2" t="s">
        <v>17</v>
      </c>
      <c r="D9" s="2">
        <v>2000</v>
      </c>
      <c r="E9" s="2">
        <f t="shared" si="0"/>
        <v>0</v>
      </c>
      <c r="F9" s="2">
        <f t="shared" si="1"/>
        <v>0</v>
      </c>
      <c r="G9" s="2">
        <f t="shared" si="2"/>
        <v>0</v>
      </c>
      <c r="H9" s="2">
        <v>2000</v>
      </c>
      <c r="I9" s="7"/>
    </row>
    <row r="10" spans="1:12" ht="15" thickBot="1" x14ac:dyDescent="0.35">
      <c r="A10" s="2">
        <v>9</v>
      </c>
      <c r="B10" s="2" t="s">
        <v>18</v>
      </c>
      <c r="C10" s="2" t="s">
        <v>4</v>
      </c>
      <c r="D10" s="2">
        <v>90</v>
      </c>
      <c r="E10" s="2">
        <f t="shared" si="0"/>
        <v>90</v>
      </c>
      <c r="F10" s="2">
        <f t="shared" si="1"/>
        <v>0</v>
      </c>
      <c r="G10" s="2">
        <f t="shared" si="2"/>
        <v>0</v>
      </c>
      <c r="H10" s="2">
        <v>0</v>
      </c>
      <c r="I10" s="7"/>
    </row>
    <row r="11" spans="1:12" x14ac:dyDescent="0.3">
      <c r="A11" s="2">
        <v>10</v>
      </c>
      <c r="B11" s="2" t="s">
        <v>19</v>
      </c>
      <c r="C11" s="2" t="s">
        <v>20</v>
      </c>
      <c r="D11" s="2">
        <v>300</v>
      </c>
      <c r="E11" s="2">
        <f t="shared" si="0"/>
        <v>0</v>
      </c>
      <c r="F11" s="2">
        <f t="shared" si="1"/>
        <v>300</v>
      </c>
      <c r="G11" s="2">
        <f t="shared" si="2"/>
        <v>0</v>
      </c>
      <c r="H11" s="2">
        <v>0</v>
      </c>
      <c r="I11" s="7"/>
      <c r="J11" s="16"/>
      <c r="K11" s="17" t="s">
        <v>26</v>
      </c>
      <c r="L11" s="18" t="s">
        <v>27</v>
      </c>
    </row>
    <row r="12" spans="1:12" x14ac:dyDescent="0.3">
      <c r="J12" s="8" t="s">
        <v>21</v>
      </c>
      <c r="K12" s="9">
        <f>SUM(D2:D11)</f>
        <v>3563</v>
      </c>
      <c r="L12" s="10"/>
    </row>
    <row r="13" spans="1:12" ht="28.8" x14ac:dyDescent="0.3">
      <c r="F13" s="4"/>
      <c r="J13" s="8" t="s">
        <v>22</v>
      </c>
      <c r="K13" s="9">
        <f>AVERAGE(D2:D11)</f>
        <v>356.3</v>
      </c>
      <c r="L13" s="10"/>
    </row>
    <row r="14" spans="1:12" x14ac:dyDescent="0.3">
      <c r="J14" s="8" t="s">
        <v>23</v>
      </c>
      <c r="K14" s="9">
        <f>SUM( E2:E11)</f>
        <v>223</v>
      </c>
      <c r="L14" s="11">
        <f>100* K14/SUM($K$14:$K$17)</f>
        <v>6.2587706988492844</v>
      </c>
    </row>
    <row r="15" spans="1:12" x14ac:dyDescent="0.3">
      <c r="J15" s="8" t="s">
        <v>24</v>
      </c>
      <c r="K15" s="9">
        <f>SUM(F2:F11)</f>
        <v>300</v>
      </c>
      <c r="L15" s="11">
        <f t="shared" ref="L15:L17" si="3">100* K15/SUM($K$14:$K$17)</f>
        <v>8.419870895312938</v>
      </c>
    </row>
    <row r="16" spans="1:12" x14ac:dyDescent="0.3">
      <c r="J16" s="8" t="s">
        <v>25</v>
      </c>
      <c r="K16" s="12">
        <f>SUM(G2:G11)</f>
        <v>40</v>
      </c>
      <c r="L16" s="11">
        <f t="shared" si="3"/>
        <v>1.1226494527083919</v>
      </c>
    </row>
    <row r="17" spans="10:12" ht="15" thickBot="1" x14ac:dyDescent="0.35">
      <c r="J17" s="13" t="s">
        <v>10</v>
      </c>
      <c r="K17" s="14">
        <f>SUM(H2:H11)</f>
        <v>3000</v>
      </c>
      <c r="L17" s="15">
        <f t="shared" si="3"/>
        <v>84.198708953129383</v>
      </c>
    </row>
    <row r="18" spans="10:12" x14ac:dyDescent="0.3">
      <c r="L18" s="5"/>
    </row>
    <row r="19" spans="10:12" x14ac:dyDescent="0.3">
      <c r="L19" s="5"/>
    </row>
    <row r="20" spans="10:12" x14ac:dyDescent="0.3">
      <c r="K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SK ISMAIL</cp:lastModifiedBy>
  <dcterms:created xsi:type="dcterms:W3CDTF">2015-06-05T18:17:20Z</dcterms:created>
  <dcterms:modified xsi:type="dcterms:W3CDTF">2026-04-02T18:53:49Z</dcterms:modified>
</cp:coreProperties>
</file>